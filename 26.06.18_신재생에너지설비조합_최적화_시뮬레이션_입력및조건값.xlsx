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law8\Vault_jlaw80\01_Projects\02_에너빌드\01_디벨로퍼기능\01_진행업무\"/>
    </mc:Choice>
  </mc:AlternateContent>
  <xr:revisionPtr revIDLastSave="0" documentId="13_ncr:1_{A745AF94-A314-4DD4-8EFF-55B8403D92C8}" xr6:coauthVersionLast="47" xr6:coauthVersionMax="47" xr10:uidLastSave="{00000000-0000-0000-0000-000000000000}"/>
  <bookViews>
    <workbookView xWindow="-57720" yWindow="-11625" windowWidth="29040" windowHeight="15720" tabRatio="842" xr2:uid="{6A29C5A6-7ED2-4F79-824A-0405DE171207}"/>
  </bookViews>
  <sheets>
    <sheet name="Target Value 및신재생에너지원 관련 입력변수" sheetId="9" r:id="rId1"/>
    <sheet name="신재생에너지원별특징" sheetId="1" r:id="rId2"/>
    <sheet name="건축정보" sheetId="12" r:id="rId3"/>
    <sheet name="건물유형별 규제사항 및 사용자 요구도" sheetId="1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3" i="9" l="1"/>
  <c r="E13" i="9"/>
  <c r="D13" i="9"/>
  <c r="F12" i="9"/>
  <c r="E12" i="9"/>
  <c r="D12" i="9"/>
  <c r="F11" i="9"/>
  <c r="E11" i="9"/>
  <c r="D11" i="9"/>
  <c r="F10" i="9"/>
  <c r="E10" i="9"/>
  <c r="D10" i="9"/>
  <c r="F9" i="9"/>
  <c r="E9" i="9"/>
  <c r="D9" i="9"/>
  <c r="F8" i="9"/>
  <c r="E8" i="9"/>
  <c r="D8" i="9"/>
  <c r="E7" i="9"/>
  <c r="D7" i="9"/>
  <c r="G6" i="9"/>
  <c r="F6" i="9"/>
  <c r="E6" i="9"/>
  <c r="D6" i="9"/>
  <c r="F5" i="9"/>
  <c r="E5" i="9"/>
  <c r="D5" i="9"/>
  <c r="E4" i="9"/>
  <c r="D4" i="9"/>
  <c r="G3" i="9"/>
  <c r="F3" i="9"/>
  <c r="E3" i="9"/>
  <c r="D3" i="9"/>
  <c r="X10" i="1" l="1"/>
  <c r="X9" i="1"/>
  <c r="X7" i="1"/>
  <c r="M8" i="1" l="1"/>
  <c r="M6" i="1"/>
  <c r="N7" i="1" l="1"/>
  <c r="N10" i="1"/>
  <c r="N9" i="1"/>
  <c r="N8" i="1"/>
  <c r="N4" i="1"/>
  <c r="N5" i="1"/>
  <c r="N6" i="1"/>
  <c r="N3" i="1"/>
  <c r="E4" i="1" l="1"/>
  <c r="G4" i="1" s="1"/>
  <c r="Z16" i="1"/>
  <c r="AA16" i="1" s="1"/>
  <c r="AB16" i="1" s="1"/>
  <c r="E5" i="1" l="1"/>
  <c r="G5" i="1" s="1"/>
  <c r="E6" i="1"/>
  <c r="G6" i="1" s="1"/>
  <c r="E7" i="1"/>
  <c r="G7" i="1" s="1"/>
  <c r="E8" i="1"/>
  <c r="G8" i="1" s="1"/>
  <c r="E9" i="1"/>
  <c r="G9" i="1" s="1"/>
  <c r="E10" i="1"/>
  <c r="E3" i="1"/>
</calcChain>
</file>

<file path=xl/sharedStrings.xml><?xml version="1.0" encoding="utf-8"?>
<sst xmlns="http://schemas.openxmlformats.org/spreadsheetml/2006/main" count="289" uniqueCount="133">
  <si>
    <t>태양광</t>
  </si>
  <si>
    <t>지열</t>
  </si>
  <si>
    <t>연료전지</t>
  </si>
  <si>
    <t>형식</t>
  </si>
  <si>
    <t>BIPV</t>
  </si>
  <si>
    <t>수직밀폐형</t>
  </si>
  <si>
    <t>세부형식</t>
    <phoneticPr fontId="2" type="noConversion"/>
  </si>
  <si>
    <t>발전없음</t>
    <phoneticPr fontId="2" type="noConversion"/>
  </si>
  <si>
    <t>SOFC(건물용)</t>
    <phoneticPr fontId="2" type="noConversion"/>
  </si>
  <si>
    <t>PEMFC(건물용)</t>
    <phoneticPr fontId="2" type="noConversion"/>
  </si>
  <si>
    <t>SOFC(발전용)</t>
    <phoneticPr fontId="2" type="noConversion"/>
  </si>
  <si>
    <t>PAFC(발전용)</t>
    <phoneticPr fontId="2" type="noConversion"/>
  </si>
  <si>
    <t>장점</t>
  </si>
  <si>
    <t>단점 / 유의사항</t>
  </si>
  <si>
    <t>가장 보편적·접근성 높은 신재생원. 
초기투자비·운영비(무인운전) 최저.
검증된 기술로 유지관리 용이.</t>
  </si>
  <si>
    <t>건축물 외피(벽면·창)를 활용해 옥상면적 제약이 적고 미관·디자인 통합 가능. 
★보정계수 6.12로 매우 높아 의무비율·자립률에 유리(소면적으로 효과 큼). 
고층 등 옥상 부족 건물의 자립률 확보 수단.</t>
  </si>
  <si>
    <t>★초기투자비가 일반 PV보다 높음. 
수직·단일방위 설치로 단위발전량(923)이 PV보다 낮음. 
인접 건물 음영·기상 영향. 
외피 적용 시 화재·시공 품질관리 필요.</t>
  </si>
  <si>
    <t>연중 안정적 냉난방 열원(외기 영향 적음). 
운전 소음·미관 영향 적음. 냉·난방 동시 대응.</t>
  </si>
  <si>
    <t>★초기투자비 높음(천공·보어필드 공사비) 및 천공 부지 필요 → 공사기간 증가. 
히트펌프 구동 전력요금 발생. 
보정계수 1.26으로 의무비율 효율은 보통.</t>
  </si>
  <si>
    <t>연중 기저부하로 안정적 전력 공급(고가동률). ★저온 폐열(약 80℃)이라 급탕·난방에 직접 활용 적합 → 열사용 최적화에 유리. 보정계수 2.20으로 PV보다 의무비율 효율 높아 소용량 설치 가능.</t>
  </si>
  <si>
    <t>초기투자비 높음, 운전용 도시가스 요금 발생. 폐열회수 별도 설비(공조열교환기·온수탱크 등) 필요. ★발전효율은 SOFC보다 낮은 편. 열 수요처 없으면 효율 저하.</t>
  </si>
  <si>
    <t>연중 안정적 전력 공급. 
★연료전지 중 발전효율 최고(약 50~60%). 
보정계수 8.71로 전 신재생원 중 의무비율·자립률 효율 최고 → 최소 용량으로 충족. 
고온 폐열로 고급 열 활용 가능.</t>
  </si>
  <si>
    <t>초기투자비 높음, 도시가스 요금 발생. 
고온 운전으로 기동·정지 부담, 폐열회수 별도 설비 필요. 
열 수요 없으면 고온 폐열 미활용.</t>
  </si>
  <si>
    <t>검증된 상용기술로 대용량 전력 안정 공급, 전력 집약시설(데이터센터 등)에 유리. 
약 200℃ 중온 폐열로 열병합 가능.</t>
  </si>
  <si>
    <t>단위용량 큼(약 400kW급)으로 소규모 세부 용량 설계 어려움. 
대당 설치비·연간 유지보수 계약 부담. 
★현행 별표10 미등재 → 건물 의무비율 산정 시 별도 확인 필요.</t>
  </si>
  <si>
    <t>대용량 전력 안정 공급, 전력사용량 매우 높은 데이터센터 등에 유리. 
높은 발전효율.</t>
  </si>
  <si>
    <t>단위용량 큼(약 300kW급)으로 세부 설계 어려움. 
대당 설치비·유지보수 부담. 
*발전사업용은 RPS(REC 가중치) 체계로, 건물 자가소비 시에만 별표10(8.71) 적용.</t>
  </si>
  <si>
    <t>고정식(수직설치) BAPV</t>
    <phoneticPr fontId="2" type="noConversion"/>
  </si>
  <si>
    <t>고정식(수평설치) PV</t>
    <phoneticPr fontId="2" type="noConversion"/>
  </si>
  <si>
    <t>건물 외벽면 설치면적 필요.
태양광 모듈 고정을 위한 구조물 설치 필요하며, 이에 따라 건물 외관 헤침
태양광 모듈 낙하 등의 안전 문제 우려
일사·기상에 따라 발전량 변동(간헐성). 
보정계수 0.95로 가장 낮아 의무비율 충족에 많은 용량 필요.</t>
    <phoneticPr fontId="2" type="noConversion"/>
  </si>
  <si>
    <t>옥상·외부 설치면적 필요. 
태양광 모듈 고정을 위한 구조물 설치 필요하며, 이에 따라 건물 외관 헤침
일사·기상에 따라 발전량 변동(간헐성). 
보정계수 0.95로 가장 낮아 의무비율 충족에 많은 용량 필요.</t>
    <phoneticPr fontId="2" type="noConversion"/>
  </si>
  <si>
    <t>공동주택</t>
  </si>
  <si>
    <t>사무실·업무시설</t>
  </si>
  <si>
    <t>상가</t>
  </si>
  <si>
    <t>주상복합</t>
  </si>
  <si>
    <t>건물유형(고유)</t>
  </si>
  <si>
    <t>건물유형</t>
    <phoneticPr fontId="2" type="noConversion"/>
  </si>
  <si>
    <t>데이터센터</t>
  </si>
  <si>
    <t>Target Value</t>
    <phoneticPr fontId="2" type="noConversion"/>
  </si>
  <si>
    <t>Input1</t>
    <phoneticPr fontId="2" type="noConversion"/>
  </si>
  <si>
    <t>Input2</t>
    <phoneticPr fontId="2" type="noConversion"/>
  </si>
  <si>
    <t>Input3</t>
  </si>
  <si>
    <t>Input4</t>
  </si>
  <si>
    <t>Input5</t>
  </si>
  <si>
    <t>Input6</t>
  </si>
  <si>
    <t>Input7</t>
  </si>
  <si>
    <t>Input8</t>
  </si>
  <si>
    <t>건물디자인</t>
    <phoneticPr fontId="2" type="noConversion"/>
  </si>
  <si>
    <t>장비비</t>
    <phoneticPr fontId="2" type="noConversion"/>
  </si>
  <si>
    <t xml:space="preserve">보수 및 유지관리비(수선비) </t>
    <phoneticPr fontId="2" type="noConversion"/>
  </si>
  <si>
    <t>에너지 및 유틸리티비용</t>
    <phoneticPr fontId="2" type="noConversion"/>
  </si>
  <si>
    <t>소모품 교체, 고장 수리, 정기 점검</t>
    <phoneticPr fontId="2" type="noConversion"/>
  </si>
  <si>
    <t>전기/가스, 용수 비용
건물측면: 냉난방, 급탕 비용</t>
    <phoneticPr fontId="2" type="noConversion"/>
  </si>
  <si>
    <t>시공 및 설치비</t>
    <phoneticPr fontId="2" type="noConversion"/>
  </si>
  <si>
    <t>부대시설비용</t>
    <phoneticPr fontId="2" type="noConversion"/>
  </si>
  <si>
    <t>배관, 덕트 등의 자재 비용</t>
    <phoneticPr fontId="2" type="noConversion"/>
  </si>
  <si>
    <t>장비 반입, 현장 조립, 용접, 단열, 시운전 등에 투입되는 인건비 및 장비 임대료</t>
    <phoneticPr fontId="2" type="noConversion"/>
  </si>
  <si>
    <t>Initial Cost
(초기 비용)</t>
    <phoneticPr fontId="2" type="noConversion"/>
  </si>
  <si>
    <t>Running Cost
(운영비)</t>
    <phoneticPr fontId="2" type="noConversion"/>
  </si>
  <si>
    <t>인센티브</t>
    <phoneticPr fontId="2" type="noConversion"/>
  </si>
  <si>
    <t>자립률(ZEB 등급)에 따른 용적률 비율</t>
    <phoneticPr fontId="2" type="noConversion"/>
  </si>
  <si>
    <t>용적률 및 높이 비율</t>
    <phoneticPr fontId="2" type="noConversion"/>
  </si>
  <si>
    <t>태양광 설치면적</t>
    <phoneticPr fontId="2" type="noConversion"/>
  </si>
  <si>
    <t>옥상 및 외피 설치 면적</t>
    <phoneticPr fontId="2" type="noConversion"/>
  </si>
  <si>
    <t>시공성</t>
    <phoneticPr fontId="2" type="noConversion"/>
  </si>
  <si>
    <t>시공 관련 제반 사항</t>
    <phoneticPr fontId="2" type="noConversion"/>
  </si>
  <si>
    <t>설치면적: 지열(토지면적 대비), 연료전지(기계실 내 배치면적)만 대상(태양광은 건물 디자인에서 평가)
공사기간, 공사난이도 등</t>
    <phoneticPr fontId="2" type="noConversion"/>
  </si>
  <si>
    <t>*의무설치비율계산시 사용
(=연간단위에너지생산량/연간단위에너지소요량) 
(공공기관, 녹색건축물설계기준)</t>
    <phoneticPr fontId="2" type="noConversion"/>
  </si>
  <si>
    <r>
      <rPr>
        <b/>
        <sz val="10"/>
        <color rgb="FF000000"/>
        <rFont val="맑은 고딕"/>
        <family val="3"/>
        <charset val="129"/>
      </rPr>
      <t>⒟</t>
    </r>
    <r>
      <rPr>
        <b/>
        <sz val="10"/>
        <color rgb="FF000000"/>
        <rFont val="맑은 고딕"/>
        <family val="3"/>
        <charset val="129"/>
        <scheme val="minor"/>
      </rPr>
      <t>원별 장비비(초기비용)(원/kW)</t>
    </r>
    <phoneticPr fontId="2" type="noConversion"/>
  </si>
  <si>
    <t>⒢1kW에너지 생산시 연료소비량(kWh/kWp)</t>
  </si>
  <si>
    <t>⒣1kW당연간전기 절약금액(원/kW*yr)</t>
  </si>
  <si>
    <t>⒦1kW당 연간유지관리비(원/(kW*yr)</t>
  </si>
  <si>
    <t>⒨kW당 설치면적(㎡)</t>
  </si>
  <si>
    <t>Variable (신재생에너지원별 특징)</t>
    <phoneticPr fontId="2" type="noConversion"/>
  </si>
  <si>
    <r>
      <rPr>
        <b/>
        <sz val="10"/>
        <color rgb="FF000000"/>
        <rFont val="맑은 고딕"/>
        <family val="3"/>
        <charset val="129"/>
      </rPr>
      <t>⒠</t>
    </r>
    <r>
      <rPr>
        <b/>
        <sz val="10"/>
        <color rgb="FF000000"/>
        <rFont val="맑은 고딕"/>
        <family val="3"/>
        <charset val="129"/>
        <scheme val="minor"/>
      </rPr>
      <t>연간단위에너지생산량 단가
(d)/(b)</t>
    </r>
    <phoneticPr fontId="2" type="noConversion"/>
  </si>
  <si>
    <t>⒡ 1kW당 연간 발전량(kW/yr)</t>
    <phoneticPr fontId="2" type="noConversion"/>
  </si>
  <si>
    <t>1kW*365d*일간 발전시간
(태양광: 3.5h, 연료전지 24h)</t>
    <phoneticPr fontId="2" type="noConversion"/>
  </si>
  <si>
    <t>⒤1kW당 연간 열 절약금액(100% 사용시)
(g)+(h)</t>
    <phoneticPr fontId="2" type="noConversion"/>
  </si>
  <si>
    <t>⒧1kW당 연간 순익(원/kW*yr)
(i)-(j)-(k)</t>
    <phoneticPr fontId="2" type="noConversion"/>
  </si>
  <si>
    <t>⒩ZEB(에너지자립률) 인증시 기여도</t>
    <phoneticPr fontId="2" type="noConversion"/>
  </si>
  <si>
    <t>매우높음</t>
  </si>
  <si>
    <t>매우낮음</t>
  </si>
  <si>
    <t>낮음</t>
  </si>
  <si>
    <t>높음</t>
  </si>
  <si>
    <t>보통</t>
  </si>
  <si>
    <t>⒪건물 디자인 퐐손도</t>
  </si>
  <si>
    <t>⒫건물 옥상 등 외부 공간 차지도</t>
  </si>
  <si>
    <t>⒬공사기간</t>
  </si>
  <si>
    <t>⒭공사난이도</t>
  </si>
  <si>
    <t>⒥1kW당 연간사용금액(전기, 가스요금)</t>
    <phoneticPr fontId="2" type="noConversion"/>
  </si>
  <si>
    <t>옥상 가용면적</t>
    <phoneticPr fontId="2" type="noConversion"/>
  </si>
  <si>
    <t>외피(입면) 가용면적</t>
    <phoneticPr fontId="2" type="noConversion"/>
  </si>
  <si>
    <t>건축규모</t>
    <phoneticPr fontId="2" type="noConversion"/>
  </si>
  <si>
    <t>철도보호지구 정보</t>
    <phoneticPr fontId="2" type="noConversion"/>
  </si>
  <si>
    <t>철도보호지구 제외 대지 면적</t>
    <phoneticPr fontId="2" type="noConversion"/>
  </si>
  <si>
    <t>민간</t>
    <phoneticPr fontId="2" type="noConversion"/>
  </si>
  <si>
    <t>공공</t>
    <phoneticPr fontId="2" type="noConversion"/>
  </si>
  <si>
    <t>규제사항</t>
    <phoneticPr fontId="2" type="noConversion"/>
  </si>
  <si>
    <t>ZEB(자립률) 인증</t>
    <phoneticPr fontId="2" type="noConversion"/>
  </si>
  <si>
    <t>의무</t>
    <phoneticPr fontId="2" type="noConversion"/>
  </si>
  <si>
    <t>선택</t>
    <phoneticPr fontId="2" type="noConversion"/>
  </si>
  <si>
    <t>의무(조건부)</t>
    <phoneticPr fontId="2" type="noConversion"/>
  </si>
  <si>
    <t>높음</t>
    <phoneticPr fontId="2" type="noConversion"/>
  </si>
  <si>
    <t>보통</t>
    <phoneticPr fontId="2" type="noConversion"/>
  </si>
  <si>
    <t>낮음</t>
    <phoneticPr fontId="2" type="noConversion"/>
  </si>
  <si>
    <t>비용관련</t>
    <phoneticPr fontId="2" type="noConversion"/>
  </si>
  <si>
    <t>법적규제</t>
    <phoneticPr fontId="2" type="noConversion"/>
  </si>
  <si>
    <t>신재생에너지의무설치비율</t>
    <phoneticPr fontId="2" type="noConversion"/>
  </si>
  <si>
    <t>신재생에너지전력생산비율</t>
    <phoneticPr fontId="2" type="noConversion"/>
  </si>
  <si>
    <t>자립률(ZEB 등급)</t>
    <phoneticPr fontId="2" type="noConversion"/>
  </si>
  <si>
    <t>입력정보</t>
    <phoneticPr fontId="2" type="noConversion"/>
  </si>
  <si>
    <t>추가 생성 정보</t>
    <phoneticPr fontId="2" type="noConversion"/>
  </si>
  <si>
    <t>건물유형별 사용자 요구 우선도</t>
    <phoneticPr fontId="2" type="noConversion"/>
  </si>
  <si>
    <t>연간 예상 전력소비량</t>
    <phoneticPr fontId="2" type="noConversion"/>
  </si>
  <si>
    <t>적용 규제 기준</t>
    <phoneticPr fontId="2" type="noConversion"/>
  </si>
  <si>
    <t>민간/공공여부+건축규모+건물유형</t>
    <phoneticPr fontId="2" type="noConversion"/>
  </si>
  <si>
    <t>건축규모+건축규모</t>
    <phoneticPr fontId="2" type="noConversion"/>
  </si>
  <si>
    <t>상가</t>
    <phoneticPr fontId="2" type="noConversion"/>
  </si>
  <si>
    <t>시공성
요구도</t>
    <phoneticPr fontId="2" type="noConversion"/>
  </si>
  <si>
    <t>기계실 면적 최소화</t>
    <phoneticPr fontId="2" type="noConversion"/>
  </si>
  <si>
    <t>신재생의무
설치비율</t>
    <phoneticPr fontId="2" type="noConversion"/>
  </si>
  <si>
    <t>신재생전력
생산량</t>
    <phoneticPr fontId="2" type="noConversion"/>
  </si>
  <si>
    <t>Initial 
Cost</t>
    <phoneticPr fontId="2" type="noConversion"/>
  </si>
  <si>
    <t>Running 
Cost</t>
    <phoneticPr fontId="2" type="noConversion"/>
  </si>
  <si>
    <t>사용자 요구도</t>
    <phoneticPr fontId="2" type="noConversion"/>
  </si>
  <si>
    <t>토지 개발 
최소화</t>
    <phoneticPr fontId="2" type="noConversion"/>
  </si>
  <si>
    <t>공사기간 최소화</t>
    <phoneticPr fontId="2" type="noConversion"/>
  </si>
  <si>
    <t>공사난이도 최소화</t>
    <phoneticPr fontId="2" type="noConversion"/>
  </si>
  <si>
    <t xml:space="preserve">인센티브
확보 </t>
    <phoneticPr fontId="2" type="noConversion"/>
  </si>
  <si>
    <t xml:space="preserve">건물디자인
개선 </t>
    <phoneticPr fontId="2" type="noConversion"/>
  </si>
  <si>
    <r>
      <rPr>
        <b/>
        <sz val="10"/>
        <color rgb="FF000000"/>
        <rFont val="맑은 고딕"/>
        <family val="3"/>
        <charset val="129"/>
      </rPr>
      <t>⒜</t>
    </r>
    <r>
      <rPr>
        <b/>
        <sz val="10"/>
        <color rgb="FF000000"/>
        <rFont val="맑은 고딕"/>
        <family val="3"/>
        <charset val="129"/>
        <scheme val="minor"/>
      </rPr>
      <t>단위 에너지생산량(kWh/</t>
    </r>
    <r>
      <rPr>
        <b/>
        <sz val="10"/>
        <color rgb="FF000000"/>
        <rFont val="맑은 고딕"/>
        <family val="3"/>
        <charset val="129"/>
      </rPr>
      <t>㎡</t>
    </r>
    <r>
      <rPr>
        <b/>
        <sz val="10"/>
        <color rgb="FF000000"/>
        <rFont val="맑은 고딕"/>
        <family val="3"/>
        <charset val="129"/>
        <scheme val="minor"/>
      </rPr>
      <t>ㆍyr)</t>
    </r>
    <phoneticPr fontId="2" type="noConversion"/>
  </si>
  <si>
    <r>
      <rPr>
        <b/>
        <sz val="10"/>
        <color rgb="FF000000"/>
        <rFont val="맑은 고딕"/>
        <family val="3"/>
        <charset val="129"/>
      </rPr>
      <t>⒝</t>
    </r>
    <r>
      <rPr>
        <b/>
        <sz val="10"/>
        <color rgb="FF000000"/>
        <rFont val="맑은 고딕"/>
        <family val="3"/>
        <charset val="129"/>
        <scheme val="minor"/>
      </rPr>
      <t>원별 보정계수</t>
    </r>
    <phoneticPr fontId="2" type="noConversion"/>
  </si>
  <si>
    <r>
      <rPr>
        <b/>
        <sz val="10"/>
        <color rgb="FF000000"/>
        <rFont val="맑은 고딕"/>
        <family val="3"/>
        <charset val="129"/>
      </rPr>
      <t>⒞</t>
    </r>
    <r>
      <rPr>
        <b/>
        <sz val="10"/>
        <color rgb="FF000000"/>
        <rFont val="맑은 고딕"/>
        <family val="3"/>
        <charset val="129"/>
        <scheme val="minor"/>
      </rPr>
      <t>연간 단위에너지생산량(kWh/yr)
(a)*(b)</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</si>
</sst>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7" formatCode="#,##0_ "/>
    <numFmt numFmtId="178" formatCode="#,##0.0_ "/>
  </numFmts>
  <fonts count="12" x14ac:knownFonts="1">
    <font>
      <sz val="11"/>
      <color theme="1"/>
      <name val="맑은 고딕"/>
      <family val="2"/>
      <charset val="129"/>
      <scheme val="minor"/>
    </font>
    <font>
      <sz val="10"/>
      <color theme="1"/>
      <name val="맑은 고딕"/>
      <family val="3"/>
      <charset val="129"/>
      <scheme val="minor"/>
    </font>
    <font>
      <sz val="8"/>
      <name val="맑은 고딕"/>
      <family val="2"/>
      <charset val="129"/>
      <scheme val="minor"/>
    </font>
    <font>
      <sz val="10"/>
      <color rgb="FF000000"/>
      <name val="맑은 고딕"/>
      <family val="3"/>
      <charset val="129"/>
      <scheme val="minor"/>
    </font>
    <font>
      <sz val="9"/>
      <color theme="1"/>
      <name val="맑은 고딕"/>
      <family val="3"/>
      <charset val="129"/>
      <scheme val="minor"/>
    </font>
    <font>
      <b/>
      <sz val="9"/>
      <color theme="1"/>
      <name val="맑은 고딕"/>
      <family val="3"/>
      <charset val="129"/>
      <scheme val="minor"/>
    </font>
    <font>
      <b/>
      <sz val="11"/>
      <color theme="1"/>
      <name val="맑은 고딕"/>
      <family val="3"/>
      <charset val="129"/>
      <scheme val="minor"/>
    </font>
    <font>
      <b/>
      <sz val="10"/>
      <color rgb="FF000000"/>
      <name val="맑은 고딕"/>
      <family val="3"/>
      <charset val="129"/>
      <scheme val="minor"/>
    </font>
    <font>
      <b/>
      <sz val="10"/>
      <color theme="1"/>
      <name val="맑은 고딕"/>
      <family val="3"/>
      <charset val="129"/>
      <scheme val="minor"/>
    </font>
    <font>
      <b/>
      <sz val="10"/>
      <color rgb="FF000000"/>
      <name val="맑은 고딕"/>
      <family val="3"/>
      <charset val="129"/>
    </font>
    <font>
      <sz val="9"/>
      <color rgb="FF008000"/>
      <name val="맑은 고딕"/>
      <family val="3"/>
      <charset val="129"/>
      <scheme val="minor"/>
    </font>
    <font>
      <sz val="11"/>
      <color theme="2" tint="-0.249977111117893"/>
      <name val="맑은 고딕"/>
      <family val="3"/>
      <charset val="129"/>
      <scheme val="minor"/>
    </font>
  </fonts>
  <fills count="5">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9" tint="0.59999389629810485"/>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alignment vertical="center"/>
    </xf>
  </cellStyleXfs>
  <cellXfs count="55">
    <xf numFmtId="0" fontId="0" fillId="0" borderId="0" xfId="0">
      <alignment vertical="center"/>
    </xf>
    <xf numFmtId="0" fontId="1" fillId="0" borderId="1" xfId="0" applyFont="1" applyBorder="1" applyAlignment="1">
      <alignment horizontal="center" vertical="center"/>
    </xf>
    <xf numFmtId="0" fontId="3" fillId="0" borderId="1" xfId="0" applyFont="1" applyBorder="1" applyAlignment="1">
      <alignment horizontal="center" vertical="center" wrapText="1"/>
    </xf>
    <xf numFmtId="0" fontId="1" fillId="0" borderId="1" xfId="0" applyFont="1" applyBorder="1" applyAlignment="1">
      <alignment horizontal="left" vertical="center"/>
    </xf>
    <xf numFmtId="3"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3" fontId="3" fillId="0" borderId="1" xfId="0" applyNumberFormat="1" applyFont="1" applyBorder="1" applyAlignment="1">
      <alignment horizontal="center" vertical="center" wrapText="1"/>
    </xf>
    <xf numFmtId="3" fontId="0" fillId="0" borderId="0" xfId="0" applyNumberFormat="1">
      <alignment vertical="center"/>
    </xf>
    <xf numFmtId="178" fontId="3" fillId="0" borderId="1" xfId="0" applyNumberFormat="1" applyFont="1" applyBorder="1" applyAlignment="1">
      <alignment horizontal="center" vertical="center" wrapText="1"/>
    </xf>
    <xf numFmtId="178" fontId="0" fillId="0" borderId="0" xfId="0" applyNumberFormat="1">
      <alignment vertical="center"/>
    </xf>
    <xf numFmtId="0" fontId="1" fillId="0" borderId="1" xfId="0" applyFont="1" applyBorder="1">
      <alignment vertical="center"/>
    </xf>
    <xf numFmtId="178" fontId="1" fillId="0" borderId="1" xfId="0" applyNumberFormat="1" applyFont="1" applyBorder="1">
      <alignment vertical="center"/>
    </xf>
    <xf numFmtId="178" fontId="3" fillId="2" borderId="1" xfId="0" applyNumberFormat="1" applyFont="1" applyFill="1" applyBorder="1" applyAlignment="1">
      <alignment vertical="center" wrapText="1"/>
    </xf>
    <xf numFmtId="177" fontId="1" fillId="0" borderId="1" xfId="0" applyNumberFormat="1" applyFont="1" applyBorder="1">
      <alignment vertical="center"/>
    </xf>
    <xf numFmtId="0" fontId="0" fillId="0" borderId="0" xfId="0" applyAlignment="1">
      <alignment horizontal="center" vertical="center"/>
    </xf>
    <xf numFmtId="0" fontId="1" fillId="0" borderId="1" xfId="0" applyFont="1" applyBorder="1" applyAlignment="1">
      <alignment horizontal="left" vertical="center" wrapText="1"/>
    </xf>
    <xf numFmtId="176" fontId="1" fillId="0" borderId="1" xfId="0" applyNumberFormat="1" applyFont="1" applyBorder="1">
      <alignment vertical="center"/>
    </xf>
    <xf numFmtId="0" fontId="0" fillId="0" borderId="0" xfId="0" applyAlignment="1">
      <alignment vertical="center" wrapText="1"/>
    </xf>
    <xf numFmtId="0" fontId="4" fillId="0" borderId="0" xfId="0" applyFont="1">
      <alignment vertical="center"/>
    </xf>
    <xf numFmtId="0" fontId="4" fillId="0" borderId="0" xfId="0" applyFont="1" applyAlignment="1">
      <alignment vertical="center" wrapText="1"/>
    </xf>
    <xf numFmtId="0" fontId="6" fillId="0" borderId="0" xfId="0" applyFont="1">
      <alignment vertical="center"/>
    </xf>
    <xf numFmtId="0" fontId="7" fillId="0" borderId="1" xfId="0" applyFont="1" applyBorder="1" applyAlignment="1">
      <alignment horizontal="center" vertical="center" wrapText="1"/>
    </xf>
    <xf numFmtId="176" fontId="7" fillId="2" borderId="1" xfId="0" applyNumberFormat="1" applyFont="1" applyFill="1" applyBorder="1" applyAlignment="1">
      <alignment vertical="center" wrapText="1"/>
    </xf>
    <xf numFmtId="176" fontId="7" fillId="0" borderId="1" xfId="0" applyNumberFormat="1" applyFont="1" applyBorder="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4" fillId="0" borderId="0" xfId="0" applyFont="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10" fillId="0" borderId="1" xfId="0" applyFont="1" applyBorder="1" applyAlignment="1">
      <alignment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4" fillId="0" borderId="1" xfId="0" applyFont="1" applyBorder="1" applyAlignment="1">
      <alignment horizontal="center" vertical="center"/>
    </xf>
    <xf numFmtId="0" fontId="4" fillId="0" borderId="0" xfId="0" applyFont="1" applyBorder="1" applyAlignment="1">
      <alignment horizontal="center" vertical="center" wrapText="1"/>
    </xf>
    <xf numFmtId="0" fontId="4" fillId="0" borderId="6" xfId="0" applyFont="1" applyBorder="1" applyAlignment="1">
      <alignment horizontal="center" vertical="center" wrapText="1"/>
    </xf>
    <xf numFmtId="0" fontId="10" fillId="0" borderId="1" xfId="0" applyFont="1" applyBorder="1" applyAlignment="1">
      <alignment horizontal="left" vertical="center" wrapText="1"/>
    </xf>
    <xf numFmtId="0" fontId="0" fillId="0" borderId="1" xfId="0" applyBorder="1" applyAlignment="1">
      <alignment horizontal="center" vertical="center"/>
    </xf>
    <xf numFmtId="0" fontId="6" fillId="4" borderId="1" xfId="0" applyFont="1" applyFill="1" applyBorder="1" applyAlignment="1">
      <alignment horizontal="center" vertical="center"/>
    </xf>
    <xf numFmtId="0" fontId="11" fillId="3" borderId="1" xfId="0" applyFont="1" applyFill="1"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178" fontId="7" fillId="4" borderId="1" xfId="0" applyNumberFormat="1" applyFont="1" applyFill="1" applyBorder="1" applyAlignment="1">
      <alignment horizontal="center" vertical="center" wrapText="1"/>
    </xf>
    <xf numFmtId="0" fontId="8" fillId="4" borderId="1" xfId="0" applyFont="1" applyFill="1" applyBorder="1" applyAlignment="1">
      <alignment horizontal="center" vertical="center"/>
    </xf>
  </cellXfs>
  <cellStyles count="1">
    <cellStyle name="표준" xfId="0" builtinId="0"/>
  </cellStyles>
  <dxfs count="3">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 dockstate="right" visibility="0" width="350"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0C3D1DE-CB44-4078-B7E0-6926A45C2972}">
  <we:reference id="wa200009404" version="1.0.0.8" store="en-US" storeType="OMEX"/>
  <we:alternateReferences>
    <we:reference id="WA200009404" version="1.0.0.8" store="" storeType="OMEX"/>
  </we:alternateReferences>
  <we:properties>
    <we:property name="claude.fileId" value="&quot;24acee61-c46b-411e-9c96-26b7bd3a9260&quot;"/>
  </we:properties>
  <we:bindings/>
  <we:snapshot xmlns:r="http://schemas.openxmlformats.org/officeDocument/2006/relationships"/>
</we:webextension>
</file>

<file path=xl/webextensions/webextension2.xml><?xml version="1.0" encoding="utf-8"?>
<we:webextension xmlns:we="http://schemas.microsoft.com/office/webextensions/webextension/2010/11" id="{15103E1B-6217-4AC6-83AC-786BDBFF7E9D}">
  <we:reference id="wa200010725" version="1.0.0.1" store="en-US" storeType="OMEX"/>
  <we:alternateReferences>
    <we:reference id="WA200010725" version="1.0.0.1" store="" storeType="OMEX"/>
  </we:alternateReferences>
  <we:properties>
    <we:property name="claude.fileId" value="&quot;216a6990-b7f4-4f27-bbe5-7246813e22f8&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93483-0F07-4BED-9AA0-8F8F4267DE95}">
  <dimension ref="A1:K24"/>
  <sheetViews>
    <sheetView tabSelected="1" workbookViewId="0">
      <selection activeCell="A17" sqref="A17:B23"/>
    </sheetView>
  </sheetViews>
  <sheetFormatPr defaultRowHeight="17" x14ac:dyDescent="0.45"/>
  <cols>
    <col min="1" max="1" width="17.25" style="25" customWidth="1"/>
    <col min="2" max="3" width="24.25" style="17" customWidth="1"/>
    <col min="4" max="7" width="18.83203125" customWidth="1"/>
  </cols>
  <sheetData>
    <row r="1" spans="1:11" x14ac:dyDescent="0.45">
      <c r="A1" s="50" t="s">
        <v>38</v>
      </c>
      <c r="B1" s="50"/>
      <c r="C1" s="50"/>
      <c r="D1" s="51" t="s">
        <v>73</v>
      </c>
      <c r="E1" s="51"/>
      <c r="F1" s="51"/>
      <c r="G1" s="51"/>
      <c r="H1" s="24"/>
      <c r="I1" s="24"/>
      <c r="J1" s="24"/>
      <c r="K1" s="24"/>
    </row>
    <row r="2" spans="1:11" x14ac:dyDescent="0.45">
      <c r="A2" s="50"/>
      <c r="B2" s="50"/>
      <c r="C2" s="50"/>
      <c r="D2" s="44" t="s">
        <v>39</v>
      </c>
      <c r="E2" s="44" t="s">
        <v>40</v>
      </c>
      <c r="F2" s="44" t="s">
        <v>41</v>
      </c>
      <c r="G2" s="44" t="s">
        <v>42</v>
      </c>
      <c r="H2" t="s">
        <v>43</v>
      </c>
      <c r="I2" t="s">
        <v>44</v>
      </c>
      <c r="J2" t="s">
        <v>45</v>
      </c>
      <c r="K2" t="s">
        <v>46</v>
      </c>
    </row>
    <row r="3" spans="1:11" ht="43.5" x14ac:dyDescent="0.45">
      <c r="A3" s="32" t="s">
        <v>57</v>
      </c>
      <c r="B3" s="33" t="s">
        <v>48</v>
      </c>
      <c r="C3" s="33"/>
      <c r="D3" s="34" t="str">
        <f>신재생에너지원별특징!F1</f>
        <v>⒟원별 장비비(초기비용)(원/kW)</v>
      </c>
      <c r="E3" s="34" t="str">
        <f>신재생에너지원별특징!G1</f>
        <v>⒠연간단위에너지생산량 단가
(d)/(b)</v>
      </c>
      <c r="F3" s="34" t="str">
        <f>신재생에너지원별특징!C1</f>
        <v>⒜단위 에너지생산량(kWh/㎡ㆍyr)</v>
      </c>
      <c r="G3" s="34" t="str">
        <f>신재생에너지원별특징!E1</f>
        <v>⒞연간 단위에너지생산량(kWh/yr)
(a)*(b)</v>
      </c>
      <c r="H3" s="19"/>
      <c r="I3" s="19"/>
      <c r="J3" s="19"/>
      <c r="K3" s="18"/>
    </row>
    <row r="4" spans="1:11" ht="29" x14ac:dyDescent="0.45">
      <c r="A4" s="32"/>
      <c r="B4" s="33" t="s">
        <v>54</v>
      </c>
      <c r="C4" s="33" t="s">
        <v>55</v>
      </c>
      <c r="D4" s="34" t="str">
        <f>신재생에너지원별특징!F1</f>
        <v>⒟원별 장비비(초기비용)(원/kW)</v>
      </c>
      <c r="E4" s="34" t="str">
        <f>신재생에너지원별특징!O1</f>
        <v>⒨kW당 설치면적(㎡)</v>
      </c>
      <c r="F4" s="33"/>
      <c r="G4" s="33"/>
      <c r="H4" s="19"/>
      <c r="I4" s="19"/>
      <c r="J4" s="19"/>
      <c r="K4" s="18"/>
    </row>
    <row r="5" spans="1:11" ht="43.5" x14ac:dyDescent="0.45">
      <c r="A5" s="32"/>
      <c r="B5" s="33" t="s">
        <v>53</v>
      </c>
      <c r="C5" s="35" t="s">
        <v>56</v>
      </c>
      <c r="D5" s="34" t="str">
        <f>신재생에너지원별특징!O1</f>
        <v>⒨kW당 설치면적(㎡)</v>
      </c>
      <c r="E5" s="34" t="str">
        <f>신재생에너지원별특징!S1</f>
        <v>⒬공사기간</v>
      </c>
      <c r="F5" s="34" t="str">
        <f>신재생에너지원별특징!T1</f>
        <v>⒭공사난이도</v>
      </c>
      <c r="G5" s="33"/>
      <c r="H5" s="19"/>
      <c r="I5" s="19"/>
      <c r="J5" s="19"/>
      <c r="K5" s="18"/>
    </row>
    <row r="6" spans="1:11" ht="43.5" x14ac:dyDescent="0.45">
      <c r="A6" s="32" t="s">
        <v>58</v>
      </c>
      <c r="B6" s="33" t="s">
        <v>50</v>
      </c>
      <c r="C6" s="33" t="s">
        <v>52</v>
      </c>
      <c r="D6" s="34" t="str">
        <f>신재생에너지원별특징!L1</f>
        <v>⒥1kW당 연간사용금액(전기, 가스요금)</v>
      </c>
      <c r="E6" s="34" t="str">
        <f>신재생에너지원별특징!I1</f>
        <v>⒢1kW에너지 생산시 연료소비량(kWh/kWp)</v>
      </c>
      <c r="F6" s="34" t="str">
        <f>신재생에너지원별특징!J1</f>
        <v>⒣1kW당연간전기 절약금액(원/kW*yr)</v>
      </c>
      <c r="G6" s="34" t="str">
        <f>신재생에너지원별특징!K1</f>
        <v>⒤1kW당 연간 열 절약금액(100% 사용시)
(g)+(h)</v>
      </c>
      <c r="H6" s="19"/>
      <c r="I6" s="19"/>
      <c r="J6" s="19"/>
      <c r="K6" s="18"/>
    </row>
    <row r="7" spans="1:11" ht="29" x14ac:dyDescent="0.45">
      <c r="A7" s="32"/>
      <c r="B7" s="33" t="s">
        <v>49</v>
      </c>
      <c r="C7" s="33" t="s">
        <v>51</v>
      </c>
      <c r="D7" s="34" t="str">
        <f>신재생에너지원별특징!M1</f>
        <v>⒦1kW당 연간유지관리비(원/(kW*yr)</v>
      </c>
      <c r="E7" s="34" t="str">
        <f>신재생에너지원별특징!F1</f>
        <v>⒟원별 장비비(초기비용)(원/kW)</v>
      </c>
      <c r="F7" s="33"/>
      <c r="G7" s="33"/>
      <c r="H7" s="19"/>
      <c r="I7" s="19"/>
      <c r="J7" s="19"/>
      <c r="K7" s="18"/>
    </row>
    <row r="8" spans="1:11" ht="43.5" x14ac:dyDescent="0.45">
      <c r="A8" s="36" t="s">
        <v>59</v>
      </c>
      <c r="B8" s="33" t="s">
        <v>61</v>
      </c>
      <c r="C8" s="33" t="s">
        <v>60</v>
      </c>
      <c r="D8" s="34" t="str">
        <f>신재생에너지원별특징!P1</f>
        <v>⒩ZEB(에너지자립률) 인증시 기여도</v>
      </c>
      <c r="E8" s="34" t="str">
        <f>신재생에너지원별특징!C1</f>
        <v>⒜단위 에너지생산량(kWh/㎡ㆍyr)</v>
      </c>
      <c r="F8" s="34" t="str">
        <f>신재생에너지원별특징!E1</f>
        <v>⒞연간 단위에너지생산량(kWh/yr)
(a)*(b)</v>
      </c>
      <c r="G8" s="33"/>
      <c r="H8" s="19"/>
      <c r="I8" s="19"/>
      <c r="J8" s="19"/>
      <c r="K8" s="18"/>
    </row>
    <row r="9" spans="1:11" ht="29" x14ac:dyDescent="0.45">
      <c r="A9" s="36" t="s">
        <v>47</v>
      </c>
      <c r="B9" s="33" t="s">
        <v>62</v>
      </c>
      <c r="C9" s="33" t="s">
        <v>63</v>
      </c>
      <c r="D9" s="34" t="str">
        <f>신재생에너지원별특징!Q1</f>
        <v>⒪건물 디자인 퐐손도</v>
      </c>
      <c r="E9" s="34" t="str">
        <f>신재생에너지원별특징!R1</f>
        <v>⒫건물 옥상 등 외부 공간 차지도</v>
      </c>
      <c r="F9" s="34" t="str">
        <f>신재생에너지원별특징!O1</f>
        <v>⒨kW당 설치면적(㎡)</v>
      </c>
      <c r="G9" s="33"/>
      <c r="H9" s="19"/>
      <c r="I9" s="19"/>
      <c r="J9" s="19"/>
      <c r="K9" s="18"/>
    </row>
    <row r="10" spans="1:11" ht="58" x14ac:dyDescent="0.45">
      <c r="A10" s="36" t="s">
        <v>64</v>
      </c>
      <c r="B10" s="33" t="s">
        <v>65</v>
      </c>
      <c r="C10" s="33" t="s">
        <v>66</v>
      </c>
      <c r="D10" s="34" t="str">
        <f>신재생에너지원별특징!O1</f>
        <v>⒨kW당 설치면적(㎡)</v>
      </c>
      <c r="E10" s="34" t="str">
        <f>신재생에너지원별특징!S1</f>
        <v>⒬공사기간</v>
      </c>
      <c r="F10" s="34" t="str">
        <f>신재생에너지원별특징!T1</f>
        <v>⒭공사난이도</v>
      </c>
      <c r="G10" s="33"/>
      <c r="H10" s="19"/>
      <c r="I10" s="19"/>
      <c r="J10" s="19"/>
      <c r="K10" s="18"/>
    </row>
    <row r="11" spans="1:11" ht="43.5" x14ac:dyDescent="0.45">
      <c r="A11" s="32" t="s">
        <v>106</v>
      </c>
      <c r="B11" s="36" t="s">
        <v>107</v>
      </c>
      <c r="C11" s="38"/>
      <c r="D11" s="42" t="str">
        <f>신재생에너지원별특징!C1</f>
        <v>⒜단위 에너지생산량(kWh/㎡ㆍyr)</v>
      </c>
      <c r="E11" s="42" t="str">
        <f>신재생에너지원별특징!D1</f>
        <v>⒝원별 보정계수</v>
      </c>
      <c r="F11" s="42" t="str">
        <f>신재생에너지원별특징!E1</f>
        <v>⒞연간 단위에너지생산량(kWh/yr)
(a)*(b)</v>
      </c>
      <c r="G11" s="39"/>
    </row>
    <row r="12" spans="1:11" ht="43.5" x14ac:dyDescent="0.45">
      <c r="A12" s="32"/>
      <c r="B12" s="36" t="s">
        <v>109</v>
      </c>
      <c r="C12" s="38"/>
      <c r="D12" s="42" t="str">
        <f>신재생에너지원별특징!P1</f>
        <v>⒩ZEB(에너지자립률) 인증시 기여도</v>
      </c>
      <c r="E12" s="42" t="str">
        <f>신재생에너지원별특징!C1</f>
        <v>⒜단위 에너지생산량(kWh/㎡ㆍyr)</v>
      </c>
      <c r="F12" s="42" t="str">
        <f>신재생에너지원별특징!E1</f>
        <v>⒞연간 단위에너지생산량(kWh/yr)
(a)*(b)</v>
      </c>
      <c r="G12" s="39"/>
    </row>
    <row r="13" spans="1:11" ht="43.5" x14ac:dyDescent="0.45">
      <c r="A13" s="32"/>
      <c r="B13" s="36" t="s">
        <v>108</v>
      </c>
      <c r="C13" s="38"/>
      <c r="D13" s="42" t="str">
        <f>신재생에너지원별특징!H1</f>
        <v>⒡ 1kW당 연간 발전량(kW/yr)</v>
      </c>
      <c r="E13" s="42" t="str">
        <f>신재생에너지원별특징!C1</f>
        <v>⒜단위 에너지생산량(kWh/㎡ㆍyr)</v>
      </c>
      <c r="F13" s="42" t="str">
        <f>신재생에너지원별특징!E1</f>
        <v>⒞연간 단위에너지생산량(kWh/yr)
(a)*(b)</v>
      </c>
      <c r="G13" s="39"/>
    </row>
    <row r="14" spans="1:11" x14ac:dyDescent="0.45">
      <c r="C14" s="41"/>
    </row>
    <row r="15" spans="1:11" x14ac:dyDescent="0.45">
      <c r="C15" s="40"/>
    </row>
    <row r="21" spans="1:2" ht="27.5" customHeight="1" x14ac:dyDescent="0.45"/>
    <row r="23" spans="1:2" x14ac:dyDescent="0.45">
      <c r="A23" s="29"/>
      <c r="B23" s="19"/>
    </row>
    <row r="24" spans="1:2" x14ac:dyDescent="0.45">
      <c r="A24" s="29"/>
      <c r="B24" s="19"/>
    </row>
  </sheetData>
  <mergeCells count="6">
    <mergeCell ref="D1:G1"/>
    <mergeCell ref="H1:K1"/>
    <mergeCell ref="A11:A13"/>
    <mergeCell ref="A3:A5"/>
    <mergeCell ref="A6:A7"/>
    <mergeCell ref="A1:C2"/>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6E3EE-ED4E-4F90-A8E6-079DE75A33F6}">
  <dimension ref="A1:AC16"/>
  <sheetViews>
    <sheetView topLeftCell="O2" zoomScale="70" zoomScaleNormal="70" workbookViewId="0">
      <selection sqref="A1:V10"/>
    </sheetView>
  </sheetViews>
  <sheetFormatPr defaultRowHeight="17" x14ac:dyDescent="0.45"/>
  <cols>
    <col min="1" max="1" width="19.25" bestFit="1" customWidth="1"/>
    <col min="2" max="2" width="19.25" customWidth="1"/>
    <col min="3" max="3" width="10.33203125" customWidth="1"/>
    <col min="4" max="4" width="8.58203125" bestFit="1" customWidth="1"/>
    <col min="5" max="5" width="20.4140625" style="9" customWidth="1"/>
    <col min="6" max="6" width="12.25" style="20" bestFit="1" customWidth="1"/>
    <col min="7" max="7" width="12.25" style="20" customWidth="1"/>
    <col min="8" max="8" width="14.6640625" style="9" customWidth="1"/>
    <col min="9" max="12" width="12.25" customWidth="1"/>
    <col min="13" max="13" width="15.5" bestFit="1" customWidth="1"/>
    <col min="14" max="14" width="12.25" customWidth="1"/>
    <col min="15" max="15" width="13.58203125" customWidth="1"/>
    <col min="16" max="16" width="21.33203125" bestFit="1" customWidth="1"/>
    <col min="17" max="20" width="21.33203125" customWidth="1"/>
    <col min="21" max="22" width="40.33203125" style="14" customWidth="1"/>
  </cols>
  <sheetData>
    <row r="1" spans="1:29" ht="64" x14ac:dyDescent="0.45">
      <c r="A1" s="52" t="s">
        <v>3</v>
      </c>
      <c r="B1" s="52" t="s">
        <v>6</v>
      </c>
      <c r="C1" s="52" t="s">
        <v>130</v>
      </c>
      <c r="D1" s="52" t="s">
        <v>131</v>
      </c>
      <c r="E1" s="53" t="s">
        <v>132</v>
      </c>
      <c r="F1" s="52" t="s">
        <v>68</v>
      </c>
      <c r="G1" s="52" t="s">
        <v>74</v>
      </c>
      <c r="H1" s="53" t="s">
        <v>75</v>
      </c>
      <c r="I1" s="52" t="s">
        <v>69</v>
      </c>
      <c r="J1" s="52" t="s">
        <v>70</v>
      </c>
      <c r="K1" s="52" t="s">
        <v>77</v>
      </c>
      <c r="L1" s="52" t="s">
        <v>89</v>
      </c>
      <c r="M1" s="52" t="s">
        <v>71</v>
      </c>
      <c r="N1" s="52" t="s">
        <v>78</v>
      </c>
      <c r="O1" s="52" t="s">
        <v>72</v>
      </c>
      <c r="P1" s="52" t="s">
        <v>79</v>
      </c>
      <c r="Q1" s="52" t="s">
        <v>85</v>
      </c>
      <c r="R1" s="52" t="s">
        <v>86</v>
      </c>
      <c r="S1" s="52" t="s">
        <v>87</v>
      </c>
      <c r="T1" s="52" t="s">
        <v>88</v>
      </c>
      <c r="U1" s="54" t="s">
        <v>12</v>
      </c>
      <c r="V1" s="54" t="s">
        <v>13</v>
      </c>
    </row>
    <row r="2" spans="1:29" ht="64" x14ac:dyDescent="0.45">
      <c r="A2" s="2"/>
      <c r="B2" s="2"/>
      <c r="C2" s="26" t="s">
        <v>67</v>
      </c>
      <c r="D2" s="27"/>
      <c r="E2" s="28"/>
      <c r="F2" s="21"/>
      <c r="G2" s="21"/>
      <c r="H2" s="8" t="s">
        <v>76</v>
      </c>
      <c r="I2" s="2"/>
      <c r="J2" s="2"/>
      <c r="K2" s="2"/>
      <c r="L2" s="2"/>
      <c r="M2" s="2"/>
      <c r="N2" s="2"/>
      <c r="O2" s="2"/>
      <c r="P2" s="2"/>
      <c r="Q2" s="2"/>
      <c r="R2" s="2"/>
      <c r="S2" s="2"/>
      <c r="T2" s="2"/>
      <c r="U2" s="1"/>
      <c r="V2" s="1"/>
    </row>
    <row r="3" spans="1:29" ht="96" x14ac:dyDescent="0.45">
      <c r="A3" s="3" t="s">
        <v>0</v>
      </c>
      <c r="B3" s="3" t="s">
        <v>28</v>
      </c>
      <c r="C3" s="4">
        <v>1358</v>
      </c>
      <c r="D3" s="5">
        <v>0.95</v>
      </c>
      <c r="E3" s="12">
        <f>C3*D3</f>
        <v>1290.0999999999999</v>
      </c>
      <c r="F3" s="22">
        <v>2600000</v>
      </c>
      <c r="G3" s="22">
        <v>1</v>
      </c>
      <c r="H3" s="11">
        <v>1277.5</v>
      </c>
      <c r="I3" s="10">
        <v>0</v>
      </c>
      <c r="J3" s="16">
        <v>178495.8</v>
      </c>
      <c r="K3" s="16"/>
      <c r="L3" s="16"/>
      <c r="M3" s="13">
        <v>52000</v>
      </c>
      <c r="N3" s="13">
        <f>J3+K3-L3-M3</f>
        <v>126495.79999999999</v>
      </c>
      <c r="O3" s="10">
        <v>5</v>
      </c>
      <c r="P3" s="1" t="s">
        <v>80</v>
      </c>
      <c r="Q3" s="1" t="s">
        <v>80</v>
      </c>
      <c r="R3" s="1" t="s">
        <v>80</v>
      </c>
      <c r="S3" s="1" t="s">
        <v>81</v>
      </c>
      <c r="T3" s="1" t="s">
        <v>81</v>
      </c>
      <c r="U3" s="15" t="s">
        <v>14</v>
      </c>
      <c r="V3" s="15" t="s">
        <v>30</v>
      </c>
    </row>
    <row r="4" spans="1:29" ht="75" customHeight="1" x14ac:dyDescent="0.45">
      <c r="A4" s="3" t="s">
        <v>0</v>
      </c>
      <c r="B4" s="3" t="s">
        <v>27</v>
      </c>
      <c r="C4" s="4">
        <v>1358</v>
      </c>
      <c r="D4" s="5">
        <v>0.95</v>
      </c>
      <c r="E4" s="12">
        <f>C4*D4</f>
        <v>1290.0999999999999</v>
      </c>
      <c r="F4" s="22">
        <v>2600000</v>
      </c>
      <c r="G4" s="22">
        <f t="shared" ref="G4:G9" si="0">F4/E4</f>
        <v>2015.3476474691886</v>
      </c>
      <c r="H4" s="11">
        <v>1277.5</v>
      </c>
      <c r="I4" s="10">
        <v>0</v>
      </c>
      <c r="J4" s="16">
        <v>178495.8</v>
      </c>
      <c r="K4" s="16"/>
      <c r="L4" s="16"/>
      <c r="M4" s="13">
        <v>52000</v>
      </c>
      <c r="N4" s="13">
        <f t="shared" ref="N4:N10" si="1">J4+K4-L4-M4</f>
        <v>126495.79999999999</v>
      </c>
      <c r="O4" s="10">
        <v>5</v>
      </c>
      <c r="P4" s="1" t="s">
        <v>80</v>
      </c>
      <c r="Q4" s="1" t="s">
        <v>80</v>
      </c>
      <c r="R4" s="1" t="s">
        <v>81</v>
      </c>
      <c r="S4" s="1" t="s">
        <v>82</v>
      </c>
      <c r="T4" s="1" t="s">
        <v>83</v>
      </c>
      <c r="U4" s="15" t="s">
        <v>14</v>
      </c>
      <c r="V4" s="15" t="s">
        <v>29</v>
      </c>
    </row>
    <row r="5" spans="1:29" ht="80" x14ac:dyDescent="0.45">
      <c r="A5" s="3" t="s">
        <v>0</v>
      </c>
      <c r="B5" s="3" t="s">
        <v>4</v>
      </c>
      <c r="C5" s="2">
        <v>923</v>
      </c>
      <c r="D5" s="2">
        <v>6.12</v>
      </c>
      <c r="E5" s="12">
        <f t="shared" ref="E5" si="2">C5*D5</f>
        <v>5648.76</v>
      </c>
      <c r="F5" s="22">
        <v>5000000</v>
      </c>
      <c r="G5" s="22">
        <f t="shared" si="0"/>
        <v>885.15001522458022</v>
      </c>
      <c r="H5" s="11">
        <v>1277.5</v>
      </c>
      <c r="I5" s="10">
        <v>0</v>
      </c>
      <c r="J5" s="16">
        <v>178495.8</v>
      </c>
      <c r="K5" s="16"/>
      <c r="L5" s="16"/>
      <c r="M5" s="13">
        <v>100000</v>
      </c>
      <c r="N5" s="13">
        <f t="shared" si="1"/>
        <v>78495.799999999988</v>
      </c>
      <c r="O5" s="10">
        <v>5</v>
      </c>
      <c r="P5" s="1" t="s">
        <v>80</v>
      </c>
      <c r="Q5" s="1" t="s">
        <v>80</v>
      </c>
      <c r="R5" s="1" t="s">
        <v>81</v>
      </c>
      <c r="S5" s="1" t="s">
        <v>82</v>
      </c>
      <c r="T5" s="1" t="s">
        <v>83</v>
      </c>
      <c r="U5" s="15" t="s">
        <v>15</v>
      </c>
      <c r="V5" s="15" t="s">
        <v>16</v>
      </c>
    </row>
    <row r="6" spans="1:29" ht="64" x14ac:dyDescent="0.45">
      <c r="A6" s="3" t="s">
        <v>1</v>
      </c>
      <c r="B6" s="3" t="s">
        <v>5</v>
      </c>
      <c r="C6" s="6">
        <v>864</v>
      </c>
      <c r="D6" s="2">
        <v>1.26</v>
      </c>
      <c r="E6" s="12">
        <f>C6*D6</f>
        <v>1088.6400000000001</v>
      </c>
      <c r="F6" s="23">
        <v>2000000</v>
      </c>
      <c r="G6" s="22">
        <f t="shared" si="0"/>
        <v>1837.1546149323926</v>
      </c>
      <c r="H6" s="11" t="s">
        <v>7</v>
      </c>
      <c r="I6" s="10">
        <v>0.17</v>
      </c>
      <c r="J6" s="16"/>
      <c r="K6" s="16">
        <v>229208</v>
      </c>
      <c r="L6" s="16">
        <v>75788</v>
      </c>
      <c r="M6" s="13">
        <f>F6*0.01</f>
        <v>20000</v>
      </c>
      <c r="N6" s="13">
        <f t="shared" si="1"/>
        <v>133420</v>
      </c>
      <c r="O6" s="10">
        <v>0.44</v>
      </c>
      <c r="P6" s="1" t="s">
        <v>84</v>
      </c>
      <c r="Q6" s="1" t="s">
        <v>81</v>
      </c>
      <c r="R6" s="1" t="s">
        <v>82</v>
      </c>
      <c r="S6" s="1" t="s">
        <v>80</v>
      </c>
      <c r="T6" s="1" t="s">
        <v>80</v>
      </c>
      <c r="U6" s="15" t="s">
        <v>17</v>
      </c>
      <c r="V6" s="15" t="s">
        <v>18</v>
      </c>
    </row>
    <row r="7" spans="1:29" ht="64" x14ac:dyDescent="0.45">
      <c r="A7" s="3" t="s">
        <v>2</v>
      </c>
      <c r="B7" s="3" t="s">
        <v>9</v>
      </c>
      <c r="C7" s="4">
        <v>7415</v>
      </c>
      <c r="D7" s="5">
        <v>2.2000000000000002</v>
      </c>
      <c r="E7" s="12">
        <f>C7*D7</f>
        <v>16313.000000000002</v>
      </c>
      <c r="F7" s="22">
        <v>25000000</v>
      </c>
      <c r="G7" s="22">
        <f t="shared" si="0"/>
        <v>1532.5200760129956</v>
      </c>
      <c r="H7" s="11">
        <v>8760</v>
      </c>
      <c r="I7" s="10">
        <v>1.1000000000000001</v>
      </c>
      <c r="J7" s="16">
        <v>1620808.2810000002</v>
      </c>
      <c r="K7" s="16">
        <v>995712.71820448874</v>
      </c>
      <c r="L7" s="16">
        <v>1502476.4370000002</v>
      </c>
      <c r="M7" s="13">
        <v>510000</v>
      </c>
      <c r="N7" s="13">
        <f t="shared" si="1"/>
        <v>604044.56220448879</v>
      </c>
      <c r="O7" s="10">
        <v>0.6</v>
      </c>
      <c r="P7" s="1" t="s">
        <v>82</v>
      </c>
      <c r="Q7" s="1" t="s">
        <v>81</v>
      </c>
      <c r="R7" s="1" t="s">
        <v>81</v>
      </c>
      <c r="S7" s="1" t="s">
        <v>82</v>
      </c>
      <c r="T7" s="1" t="s">
        <v>84</v>
      </c>
      <c r="U7" s="15" t="s">
        <v>19</v>
      </c>
      <c r="V7" s="15" t="s">
        <v>20</v>
      </c>
      <c r="X7">
        <f>O7*10</f>
        <v>6</v>
      </c>
    </row>
    <row r="8" spans="1:29" ht="80" x14ac:dyDescent="0.45">
      <c r="A8" s="3" t="s">
        <v>2</v>
      </c>
      <c r="B8" s="3" t="s">
        <v>8</v>
      </c>
      <c r="C8" s="6">
        <v>9198</v>
      </c>
      <c r="D8" s="2">
        <v>8.7100000000000009</v>
      </c>
      <c r="E8" s="12">
        <f>C8*D8</f>
        <v>80114.58</v>
      </c>
      <c r="F8" s="23">
        <v>100000000</v>
      </c>
      <c r="G8" s="22">
        <f t="shared" si="0"/>
        <v>1248.2122480077908</v>
      </c>
      <c r="H8" s="11">
        <v>8760</v>
      </c>
      <c r="I8" s="10">
        <v>1.1000000000000001</v>
      </c>
      <c r="J8" s="16">
        <v>1620808.2810000002</v>
      </c>
      <c r="K8" s="16">
        <v>528673.68421052641</v>
      </c>
      <c r="L8" s="16">
        <v>968346.0636465</v>
      </c>
      <c r="M8" s="13">
        <f>F8*0.01</f>
        <v>1000000</v>
      </c>
      <c r="N8" s="13">
        <f t="shared" si="1"/>
        <v>181135.90156402672</v>
      </c>
      <c r="O8" s="10">
        <v>1</v>
      </c>
      <c r="P8" s="1" t="s">
        <v>82</v>
      </c>
      <c r="Q8" s="1" t="s">
        <v>81</v>
      </c>
      <c r="R8" s="1" t="s">
        <v>81</v>
      </c>
      <c r="S8" s="1" t="s">
        <v>82</v>
      </c>
      <c r="T8" s="1" t="s">
        <v>84</v>
      </c>
      <c r="U8" s="15" t="s">
        <v>21</v>
      </c>
      <c r="V8" s="15" t="s">
        <v>22</v>
      </c>
    </row>
    <row r="9" spans="1:29" ht="80" x14ac:dyDescent="0.45">
      <c r="A9" s="3" t="s">
        <v>2</v>
      </c>
      <c r="B9" s="3" t="s">
        <v>11</v>
      </c>
      <c r="C9" s="6">
        <v>8785</v>
      </c>
      <c r="D9" s="2">
        <v>0.93</v>
      </c>
      <c r="E9" s="12">
        <f>C9*D9</f>
        <v>8170.05</v>
      </c>
      <c r="F9" s="23">
        <v>11360000</v>
      </c>
      <c r="G9" s="22">
        <f t="shared" si="0"/>
        <v>1390.444366925539</v>
      </c>
      <c r="H9" s="11">
        <v>8760</v>
      </c>
      <c r="I9" s="10">
        <v>1.1000000000000001</v>
      </c>
      <c r="J9" s="16">
        <v>1620808.2809999997</v>
      </c>
      <c r="K9" s="16">
        <v>823440.00000000012</v>
      </c>
      <c r="L9" s="16">
        <v>1502476.4369999995</v>
      </c>
      <c r="M9" s="13">
        <v>568181.81819999998</v>
      </c>
      <c r="N9" s="13">
        <f t="shared" si="1"/>
        <v>373590.02580000053</v>
      </c>
      <c r="O9" s="10">
        <v>0.2</v>
      </c>
      <c r="P9" s="1" t="s">
        <v>82</v>
      </c>
      <c r="Q9" s="1" t="s">
        <v>81</v>
      </c>
      <c r="R9" s="1" t="s">
        <v>81</v>
      </c>
      <c r="S9" s="1" t="s">
        <v>81</v>
      </c>
      <c r="T9" s="1" t="s">
        <v>82</v>
      </c>
      <c r="U9" s="15" t="s">
        <v>23</v>
      </c>
      <c r="V9" s="15" t="s">
        <v>24</v>
      </c>
      <c r="X9">
        <f>O9*440</f>
        <v>88</v>
      </c>
    </row>
    <row r="10" spans="1:29" ht="64" x14ac:dyDescent="0.45">
      <c r="A10" s="3" t="s">
        <v>2</v>
      </c>
      <c r="B10" s="3" t="s">
        <v>10</v>
      </c>
      <c r="C10" s="6"/>
      <c r="D10" s="2"/>
      <c r="E10" s="12">
        <f>C10*D10</f>
        <v>0</v>
      </c>
      <c r="F10" s="23">
        <v>16666666.67</v>
      </c>
      <c r="G10" s="22"/>
      <c r="H10" s="11">
        <v>8760</v>
      </c>
      <c r="I10" s="10">
        <v>1.1000000000000001</v>
      </c>
      <c r="J10" s="16">
        <v>1620808.2809999997</v>
      </c>
      <c r="K10" s="16">
        <v>502224.93279999989</v>
      </c>
      <c r="L10" s="16">
        <v>1054337.7983907997</v>
      </c>
      <c r="M10" s="13">
        <v>833333.33330000006</v>
      </c>
      <c r="N10" s="13">
        <f t="shared" si="1"/>
        <v>235362.08210919984</v>
      </c>
      <c r="O10" s="10">
        <v>0.14000000000000001</v>
      </c>
      <c r="P10" s="1" t="s">
        <v>82</v>
      </c>
      <c r="Q10" s="1" t="s">
        <v>81</v>
      </c>
      <c r="R10" s="1" t="s">
        <v>81</v>
      </c>
      <c r="S10" s="1" t="s">
        <v>81</v>
      </c>
      <c r="T10" s="1" t="s">
        <v>82</v>
      </c>
      <c r="U10" s="15" t="s">
        <v>25</v>
      </c>
      <c r="V10" s="15" t="s">
        <v>26</v>
      </c>
      <c r="X10">
        <f>O10*300</f>
        <v>42.000000000000007</v>
      </c>
    </row>
    <row r="15" spans="1:29" x14ac:dyDescent="0.45">
      <c r="AC15" s="7">
        <v>5100000</v>
      </c>
    </row>
    <row r="16" spans="1:29" x14ac:dyDescent="0.45">
      <c r="Z16">
        <f>1.8*2.3</f>
        <v>4.1399999999999997</v>
      </c>
      <c r="AA16">
        <f>Z16*5</f>
        <v>20.7</v>
      </c>
      <c r="AB16">
        <f>AA16*2</f>
        <v>41.4</v>
      </c>
      <c r="AC16" s="7">
        <v>100000000</v>
      </c>
    </row>
  </sheetData>
  <mergeCells count="1">
    <mergeCell ref="C2:E2"/>
  </mergeCells>
  <phoneticPr fontId="2" type="noConversion"/>
  <dataValidations count="1">
    <dataValidation type="list" allowBlank="1" showInputMessage="1" showErrorMessage="1" sqref="P3:T10" xr:uid="{9D52A1D3-CEE3-43B9-853E-6EFE3E06E332}">
      <formula1>"매우높음,높음,보통,낮음,매우낮음"</formula1>
    </dataValidation>
  </dataValidations>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6C574-88D6-446D-B757-3D9E2F25F791}">
  <dimension ref="A1:B7"/>
  <sheetViews>
    <sheetView workbookViewId="0"/>
  </sheetViews>
  <sheetFormatPr defaultRowHeight="17" x14ac:dyDescent="0.45"/>
  <cols>
    <col min="1" max="1" width="17.33203125" bestFit="1" customWidth="1"/>
    <col min="2" max="2" width="33.83203125" customWidth="1"/>
  </cols>
  <sheetData>
    <row r="1" spans="1:2" x14ac:dyDescent="0.45">
      <c r="A1" s="49" t="s">
        <v>110</v>
      </c>
      <c r="B1" s="49" t="s">
        <v>111</v>
      </c>
    </row>
    <row r="2" spans="1:2" ht="29" x14ac:dyDescent="0.45">
      <c r="A2" s="32" t="s">
        <v>92</v>
      </c>
      <c r="B2" s="36" t="s">
        <v>90</v>
      </c>
    </row>
    <row r="3" spans="1:2" ht="29" x14ac:dyDescent="0.45">
      <c r="A3" s="32"/>
      <c r="B3" s="36" t="s">
        <v>91</v>
      </c>
    </row>
    <row r="4" spans="1:2" x14ac:dyDescent="0.45">
      <c r="A4" s="36" t="s">
        <v>36</v>
      </c>
      <c r="B4" s="36" t="s">
        <v>112</v>
      </c>
    </row>
    <row r="5" spans="1:2" x14ac:dyDescent="0.45">
      <c r="A5" s="36" t="s">
        <v>116</v>
      </c>
      <c r="B5" s="36" t="s">
        <v>113</v>
      </c>
    </row>
    <row r="6" spans="1:2" ht="29" x14ac:dyDescent="0.45">
      <c r="A6" s="36" t="s">
        <v>115</v>
      </c>
      <c r="B6" s="36" t="s">
        <v>114</v>
      </c>
    </row>
    <row r="7" spans="1:2" x14ac:dyDescent="0.45">
      <c r="A7" s="36" t="s">
        <v>93</v>
      </c>
      <c r="B7" s="36" t="s">
        <v>94</v>
      </c>
    </row>
  </sheetData>
  <mergeCells count="1">
    <mergeCell ref="A2:A3"/>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38A19-D119-47FA-A59C-D7C61FAAE7F0}">
  <dimension ref="A1:N13"/>
  <sheetViews>
    <sheetView workbookViewId="0">
      <selection sqref="A1:I12"/>
    </sheetView>
  </sheetViews>
  <sheetFormatPr defaultRowHeight="17" x14ac:dyDescent="0.45"/>
  <cols>
    <col min="1" max="1" width="15.5" bestFit="1" customWidth="1"/>
    <col min="2" max="2" width="14.58203125" customWidth="1"/>
    <col min="3" max="5" width="12.4140625" style="14" customWidth="1"/>
    <col min="6" max="7" width="12.4140625" customWidth="1"/>
    <col min="8" max="8" width="12.4140625" style="14" customWidth="1"/>
    <col min="9" max="9" width="12.4140625" customWidth="1"/>
    <col min="10" max="13" width="12.4140625" style="14" customWidth="1"/>
  </cols>
  <sheetData>
    <row r="1" spans="1:14" x14ac:dyDescent="0.45">
      <c r="A1" s="46"/>
      <c r="B1" s="31" t="s">
        <v>35</v>
      </c>
      <c r="C1" s="31" t="s">
        <v>97</v>
      </c>
      <c r="D1" s="31"/>
      <c r="E1" s="31"/>
      <c r="F1" s="31" t="s">
        <v>124</v>
      </c>
      <c r="G1" s="31"/>
      <c r="H1" s="31"/>
      <c r="I1" s="31"/>
      <c r="J1" s="31"/>
      <c r="K1" s="31"/>
      <c r="L1" s="31"/>
      <c r="M1" s="31"/>
    </row>
    <row r="2" spans="1:14" ht="17" customHeight="1" x14ac:dyDescent="0.45">
      <c r="A2" s="47"/>
      <c r="B2" s="31"/>
      <c r="C2" s="31"/>
      <c r="D2" s="31"/>
      <c r="E2" s="31"/>
      <c r="F2" s="31" t="s">
        <v>105</v>
      </c>
      <c r="G2" s="31"/>
      <c r="H2" s="30" t="s">
        <v>129</v>
      </c>
      <c r="I2" s="30" t="s">
        <v>128</v>
      </c>
      <c r="J2" s="30" t="s">
        <v>118</v>
      </c>
      <c r="K2" s="30"/>
      <c r="L2" s="30"/>
      <c r="M2" s="30"/>
    </row>
    <row r="3" spans="1:14" ht="34" x14ac:dyDescent="0.45">
      <c r="A3" s="48"/>
      <c r="B3" s="31"/>
      <c r="C3" s="37" t="s">
        <v>120</v>
      </c>
      <c r="D3" s="37" t="s">
        <v>98</v>
      </c>
      <c r="E3" s="37" t="s">
        <v>121</v>
      </c>
      <c r="F3" s="37" t="s">
        <v>122</v>
      </c>
      <c r="G3" s="37" t="s">
        <v>123</v>
      </c>
      <c r="H3" s="30"/>
      <c r="I3" s="30"/>
      <c r="J3" s="37" t="s">
        <v>125</v>
      </c>
      <c r="K3" s="37" t="s">
        <v>119</v>
      </c>
      <c r="L3" s="37" t="s">
        <v>126</v>
      </c>
      <c r="M3" s="37" t="s">
        <v>127</v>
      </c>
      <c r="N3" s="17"/>
    </row>
    <row r="4" spans="1:14" ht="23" customHeight="1" x14ac:dyDescent="0.45">
      <c r="A4" s="43" t="s">
        <v>95</v>
      </c>
      <c r="B4" s="43" t="s">
        <v>31</v>
      </c>
      <c r="C4" s="44" t="s">
        <v>101</v>
      </c>
      <c r="D4" s="43" t="s">
        <v>100</v>
      </c>
      <c r="E4" s="45" t="s">
        <v>101</v>
      </c>
      <c r="F4" s="43" t="s">
        <v>102</v>
      </c>
      <c r="G4" s="43" t="s">
        <v>103</v>
      </c>
      <c r="H4" s="43" t="s">
        <v>102</v>
      </c>
      <c r="I4" s="43" t="s">
        <v>102</v>
      </c>
      <c r="J4" s="43" t="s">
        <v>102</v>
      </c>
      <c r="K4" s="43" t="s">
        <v>104</v>
      </c>
      <c r="L4" s="43" t="s">
        <v>83</v>
      </c>
      <c r="M4" s="43" t="s">
        <v>84</v>
      </c>
    </row>
    <row r="5" spans="1:14" ht="23" customHeight="1" x14ac:dyDescent="0.45">
      <c r="A5" s="43" t="s">
        <v>95</v>
      </c>
      <c r="B5" s="43" t="s">
        <v>32</v>
      </c>
      <c r="C5" s="44" t="s">
        <v>101</v>
      </c>
      <c r="D5" s="43" t="s">
        <v>100</v>
      </c>
      <c r="E5" s="45" t="s">
        <v>101</v>
      </c>
      <c r="F5" s="43" t="s">
        <v>102</v>
      </c>
      <c r="G5" s="43" t="s">
        <v>103</v>
      </c>
      <c r="H5" s="43" t="s">
        <v>102</v>
      </c>
      <c r="I5" s="43" t="s">
        <v>102</v>
      </c>
      <c r="J5" s="43" t="s">
        <v>102</v>
      </c>
      <c r="K5" s="43" t="s">
        <v>83</v>
      </c>
      <c r="L5" s="43" t="s">
        <v>83</v>
      </c>
      <c r="M5" s="43" t="s">
        <v>84</v>
      </c>
    </row>
    <row r="6" spans="1:14" ht="23" customHeight="1" x14ac:dyDescent="0.45">
      <c r="A6" s="43" t="s">
        <v>95</v>
      </c>
      <c r="B6" s="43" t="s">
        <v>33</v>
      </c>
      <c r="C6" s="44" t="s">
        <v>101</v>
      </c>
      <c r="D6" s="43" t="s">
        <v>100</v>
      </c>
      <c r="E6" s="45" t="s">
        <v>101</v>
      </c>
      <c r="F6" s="43" t="s">
        <v>102</v>
      </c>
      <c r="G6" s="43" t="s">
        <v>103</v>
      </c>
      <c r="H6" s="43" t="s">
        <v>103</v>
      </c>
      <c r="I6" s="43" t="s">
        <v>103</v>
      </c>
      <c r="J6" s="43" t="s">
        <v>102</v>
      </c>
      <c r="K6" s="43" t="s">
        <v>104</v>
      </c>
      <c r="L6" s="43" t="s">
        <v>83</v>
      </c>
      <c r="M6" s="43" t="s">
        <v>84</v>
      </c>
    </row>
    <row r="7" spans="1:14" ht="23" customHeight="1" x14ac:dyDescent="0.45">
      <c r="A7" s="43" t="s">
        <v>95</v>
      </c>
      <c r="B7" s="43" t="s">
        <v>34</v>
      </c>
      <c r="C7" s="44" t="s">
        <v>101</v>
      </c>
      <c r="D7" s="43" t="s">
        <v>100</v>
      </c>
      <c r="E7" s="45" t="s">
        <v>101</v>
      </c>
      <c r="F7" s="43" t="s">
        <v>102</v>
      </c>
      <c r="G7" s="43" t="s">
        <v>103</v>
      </c>
      <c r="H7" s="43" t="s">
        <v>102</v>
      </c>
      <c r="I7" s="43" t="s">
        <v>102</v>
      </c>
      <c r="J7" s="43" t="s">
        <v>102</v>
      </c>
      <c r="K7" s="43" t="s">
        <v>104</v>
      </c>
      <c r="L7" s="43" t="s">
        <v>83</v>
      </c>
      <c r="M7" s="43" t="s">
        <v>84</v>
      </c>
    </row>
    <row r="8" spans="1:14" ht="23" customHeight="1" x14ac:dyDescent="0.45">
      <c r="A8" s="43" t="s">
        <v>95</v>
      </c>
      <c r="B8" s="43" t="s">
        <v>37</v>
      </c>
      <c r="C8" s="44" t="s">
        <v>101</v>
      </c>
      <c r="D8" s="43" t="s">
        <v>100</v>
      </c>
      <c r="E8" s="44" t="s">
        <v>101</v>
      </c>
      <c r="F8" s="43" t="s">
        <v>102</v>
      </c>
      <c r="G8" s="43" t="s">
        <v>102</v>
      </c>
      <c r="H8" s="43" t="s">
        <v>104</v>
      </c>
      <c r="I8" s="43" t="s">
        <v>104</v>
      </c>
      <c r="J8" s="43" t="s">
        <v>102</v>
      </c>
      <c r="K8" s="43" t="s">
        <v>83</v>
      </c>
      <c r="L8" s="43" t="s">
        <v>83</v>
      </c>
      <c r="M8" s="43" t="s">
        <v>83</v>
      </c>
    </row>
    <row r="9" spans="1:14" ht="23" customHeight="1" x14ac:dyDescent="0.45">
      <c r="A9" s="43" t="s">
        <v>96</v>
      </c>
      <c r="B9" s="43" t="s">
        <v>31</v>
      </c>
      <c r="C9" s="43"/>
      <c r="D9" s="43" t="s">
        <v>99</v>
      </c>
      <c r="E9" s="45" t="s">
        <v>101</v>
      </c>
      <c r="F9" s="43" t="s">
        <v>104</v>
      </c>
      <c r="G9" s="43" t="s">
        <v>103</v>
      </c>
      <c r="H9" s="43" t="s">
        <v>103</v>
      </c>
      <c r="I9" s="43" t="s">
        <v>104</v>
      </c>
      <c r="J9" s="43" t="s">
        <v>84</v>
      </c>
      <c r="K9" s="43" t="s">
        <v>82</v>
      </c>
      <c r="L9" s="43" t="s">
        <v>83</v>
      </c>
      <c r="M9" s="43" t="s">
        <v>84</v>
      </c>
    </row>
    <row r="10" spans="1:14" ht="23" customHeight="1" x14ac:dyDescent="0.45">
      <c r="A10" s="43" t="s">
        <v>96</v>
      </c>
      <c r="B10" s="43" t="s">
        <v>32</v>
      </c>
      <c r="C10" s="43" t="s">
        <v>99</v>
      </c>
      <c r="D10" s="43" t="s">
        <v>99</v>
      </c>
      <c r="E10" s="45" t="s">
        <v>101</v>
      </c>
      <c r="F10" s="43" t="s">
        <v>104</v>
      </c>
      <c r="G10" s="43" t="s">
        <v>103</v>
      </c>
      <c r="H10" s="43" t="s">
        <v>104</v>
      </c>
      <c r="I10" s="43" t="s">
        <v>104</v>
      </c>
      <c r="J10" s="43" t="s">
        <v>84</v>
      </c>
      <c r="K10" s="43" t="s">
        <v>83</v>
      </c>
      <c r="L10" s="43" t="s">
        <v>83</v>
      </c>
      <c r="M10" s="43" t="s">
        <v>84</v>
      </c>
    </row>
    <row r="11" spans="1:14" ht="23" customHeight="1" x14ac:dyDescent="0.45">
      <c r="A11" s="43" t="s">
        <v>96</v>
      </c>
      <c r="B11" s="43" t="s">
        <v>117</v>
      </c>
      <c r="C11" s="43" t="s">
        <v>99</v>
      </c>
      <c r="D11" s="43" t="s">
        <v>99</v>
      </c>
      <c r="E11" s="45" t="s">
        <v>101</v>
      </c>
      <c r="F11" s="43" t="s">
        <v>104</v>
      </c>
      <c r="G11" s="43" t="s">
        <v>103</v>
      </c>
      <c r="H11" s="43" t="s">
        <v>104</v>
      </c>
      <c r="I11" s="43" t="s">
        <v>104</v>
      </c>
      <c r="J11" s="43" t="s">
        <v>84</v>
      </c>
      <c r="K11" s="43" t="s">
        <v>82</v>
      </c>
      <c r="L11" s="43" t="s">
        <v>83</v>
      </c>
      <c r="M11" s="43" t="s">
        <v>84</v>
      </c>
    </row>
    <row r="12" spans="1:14" ht="23" customHeight="1" x14ac:dyDescent="0.45">
      <c r="A12" s="43" t="s">
        <v>96</v>
      </c>
      <c r="B12" s="43" t="s">
        <v>34</v>
      </c>
      <c r="C12" s="43" t="s">
        <v>99</v>
      </c>
      <c r="D12" s="43" t="s">
        <v>99</v>
      </c>
      <c r="E12" s="45" t="s">
        <v>101</v>
      </c>
      <c r="F12" s="43" t="s">
        <v>104</v>
      </c>
      <c r="G12" s="43" t="s">
        <v>103</v>
      </c>
      <c r="H12" s="43" t="s">
        <v>103</v>
      </c>
      <c r="I12" s="43" t="s">
        <v>104</v>
      </c>
      <c r="J12" s="43" t="s">
        <v>84</v>
      </c>
      <c r="K12" s="43" t="s">
        <v>82</v>
      </c>
      <c r="L12" s="43" t="s">
        <v>83</v>
      </c>
      <c r="M12" s="43" t="s">
        <v>84</v>
      </c>
    </row>
    <row r="13" spans="1:14" ht="23" customHeight="1" x14ac:dyDescent="0.45">
      <c r="A13" s="43" t="s">
        <v>96</v>
      </c>
      <c r="B13" s="43" t="s">
        <v>37</v>
      </c>
      <c r="C13" s="43" t="s">
        <v>99</v>
      </c>
      <c r="D13" s="43" t="s">
        <v>99</v>
      </c>
      <c r="E13" s="44" t="s">
        <v>101</v>
      </c>
      <c r="F13" s="43" t="s">
        <v>104</v>
      </c>
      <c r="G13" s="43" t="s">
        <v>102</v>
      </c>
      <c r="H13" s="43" t="s">
        <v>104</v>
      </c>
      <c r="I13" s="43" t="s">
        <v>104</v>
      </c>
      <c r="J13" s="43" t="s">
        <v>84</v>
      </c>
      <c r="K13" s="43" t="s">
        <v>83</v>
      </c>
      <c r="L13" s="43" t="s">
        <v>83</v>
      </c>
      <c r="M13" s="43" t="s">
        <v>83</v>
      </c>
    </row>
  </sheetData>
  <mergeCells count="8">
    <mergeCell ref="J2:M2"/>
    <mergeCell ref="F1:M1"/>
    <mergeCell ref="C1:E2"/>
    <mergeCell ref="B1:B3"/>
    <mergeCell ref="A1:A3"/>
    <mergeCell ref="F2:G2"/>
    <mergeCell ref="H2:H3"/>
    <mergeCell ref="I2:I3"/>
  </mergeCells>
  <phoneticPr fontId="2" type="noConversion"/>
  <conditionalFormatting sqref="F4:M13">
    <cfRule type="containsText" dxfId="2" priority="1" operator="containsText" text="높음">
      <formula>NOT(ISERROR(SEARCH("높음",F4)))</formula>
    </cfRule>
  </conditionalFormatting>
  <conditionalFormatting sqref="F4:M13">
    <cfRule type="containsText" dxfId="1" priority="2" operator="containsText" text="보통">
      <formula>NOT(ISERROR(SEARCH("보통",F4)))</formula>
    </cfRule>
  </conditionalFormatting>
  <conditionalFormatting sqref="F4:M13">
    <cfRule type="containsText" dxfId="0" priority="3" operator="containsText" text="낮음">
      <formula>NOT(ISERROR(SEARCH("낮음",F4)))</formula>
    </cfRule>
  </conditionalFormatting>
  <dataValidations count="2">
    <dataValidation type="list" allowBlank="1" showInputMessage="1" showErrorMessage="1" sqref="C4:E13" xr:uid="{DC121C05-8D2D-4A8A-A78E-1F53EB23FA4F}">
      <formula1>"의무(조건부),의무,선택"</formula1>
    </dataValidation>
    <dataValidation type="list" allowBlank="1" showInputMessage="1" showErrorMessage="1" sqref="F4:M13" xr:uid="{BC6770A7-34F1-4ADA-9B21-7F6EAEBFF00E}">
      <formula1>"높음,보통,낮음"</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Target Value 및신재생에너지원 관련 입력변수</vt:lpstr>
      <vt:lpstr>신재생에너지원별특징</vt:lpstr>
      <vt:lpstr>건축정보</vt:lpstr>
      <vt:lpstr>건물유형별 규제사항 및 사용자 요구도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jeehern Kim</dc:creator>
  <cp:lastModifiedBy>jeehern Kim</cp:lastModifiedBy>
  <dcterms:created xsi:type="dcterms:W3CDTF">2026-06-15T03:17:35Z</dcterms:created>
  <dcterms:modified xsi:type="dcterms:W3CDTF">2026-06-18T05:37:57Z</dcterms:modified>
</cp:coreProperties>
</file>